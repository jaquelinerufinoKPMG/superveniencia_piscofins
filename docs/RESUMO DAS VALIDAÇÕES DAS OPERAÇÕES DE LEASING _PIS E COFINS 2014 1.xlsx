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4\Superveniências - PIS.COFINS - 2014\"/>
    </mc:Choice>
  </mc:AlternateContent>
  <xr:revisionPtr revIDLastSave="0" documentId="13_ncr:1_{3CACB529-9FED-4CCB-8A00-D6FC47FBEE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o das validações 794680" sheetId="1" r:id="rId1"/>
  </sheets>
  <definedNames>
    <definedName name="_xlnm.Print_Area" localSheetId="0">'Resumo das validações 794680'!$A$1:$L$99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68" i="1"/>
  <c r="F68" i="1"/>
  <c r="E94" i="1"/>
  <c r="E91" i="1"/>
  <c r="E86" i="1"/>
  <c r="G51" i="1"/>
  <c r="G50" i="1"/>
  <c r="G49" i="1"/>
  <c r="G48" i="1"/>
  <c r="G47" i="1"/>
  <c r="E81" i="1"/>
  <c r="E80" i="1"/>
  <c r="E79" i="1"/>
  <c r="E78" i="1"/>
  <c r="E77" i="1"/>
  <c r="E76" i="1"/>
  <c r="F46" i="1"/>
  <c r="G46" i="1" s="1"/>
  <c r="F45" i="1"/>
  <c r="G45" i="1" s="1"/>
  <c r="E73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G82" i="1" s="1"/>
  <c r="F73" i="1"/>
  <c r="F82" i="1" s="1"/>
  <c r="E68" i="1"/>
  <c r="H67" i="1"/>
  <c r="H66" i="1"/>
  <c r="E93" i="1" s="1"/>
  <c r="H65" i="1"/>
  <c r="E92" i="1" s="1"/>
  <c r="H64" i="1"/>
  <c r="H63" i="1"/>
  <c r="E90" i="1" s="1"/>
  <c r="H62" i="1"/>
  <c r="E89" i="1" s="1"/>
  <c r="H61" i="1"/>
  <c r="E88" i="1" s="1"/>
  <c r="H60" i="1"/>
  <c r="E87" i="1" s="1"/>
  <c r="H59" i="1"/>
  <c r="E95" i="1" l="1"/>
  <c r="H76" i="1"/>
  <c r="F89" i="1" s="1"/>
  <c r="G89" i="1" s="1"/>
  <c r="H81" i="1"/>
  <c r="F94" i="1" s="1"/>
  <c r="G94" i="1" s="1"/>
  <c r="H77" i="1"/>
  <c r="F90" i="1" s="1"/>
  <c r="G90" i="1" s="1"/>
  <c r="E74" i="1"/>
  <c r="H74" i="1" s="1"/>
  <c r="F87" i="1" s="1"/>
  <c r="G87" i="1" s="1"/>
  <c r="E75" i="1"/>
  <c r="H75" i="1" s="1"/>
  <c r="F88" i="1" s="1"/>
  <c r="G88" i="1" s="1"/>
  <c r="H68" i="1"/>
  <c r="H73" i="1"/>
  <c r="H79" i="1"/>
  <c r="F92" i="1" s="1"/>
  <c r="G92" i="1" s="1"/>
  <c r="H80" i="1"/>
  <c r="F93" i="1" s="1"/>
  <c r="G93" i="1" s="1"/>
  <c r="F44" i="1"/>
  <c r="H78" i="1"/>
  <c r="F91" i="1" s="1"/>
  <c r="G91" i="1" s="1"/>
  <c r="E52" i="1"/>
  <c r="G52" i="1" s="1"/>
  <c r="H82" i="1" l="1"/>
  <c r="F86" i="1"/>
  <c r="E82" i="1"/>
  <c r="E53" i="1"/>
  <c r="G44" i="1"/>
  <c r="F53" i="1"/>
  <c r="G86" i="1" l="1"/>
  <c r="G95" i="1" s="1"/>
  <c r="F95" i="1"/>
  <c r="G53" i="1"/>
</calcChain>
</file>

<file path=xl/sharedStrings.xml><?xml version="1.0" encoding="utf-8"?>
<sst xmlns="http://schemas.openxmlformats.org/spreadsheetml/2006/main" count="121" uniqueCount="61">
  <si>
    <t>ABCD</t>
  </si>
  <si>
    <t>Cliente: Banco Itaucard S.A.</t>
  </si>
  <si>
    <t>RESUMO DAS VALIDAÇÕES DAS OPERAÇÕES DE LEASING - ITAÚ UNIBANCO S.A.</t>
  </si>
  <si>
    <t>Ref.</t>
  </si>
  <si>
    <t>Base Analítica</t>
  </si>
  <si>
    <t>Contrato/Tela Sistêmica</t>
  </si>
  <si>
    <t>Base Analítica x Contrato/Tela Sistêmica</t>
  </si>
  <si>
    <t>Anexo</t>
  </si>
  <si>
    <t>Nº do Contrato</t>
  </si>
  <si>
    <t>Cliente</t>
  </si>
  <si>
    <t>CNPJ/CPF</t>
  </si>
  <si>
    <t>Valor do Bem</t>
  </si>
  <si>
    <t>Data do Contrato</t>
  </si>
  <si>
    <t>Data de Liquidação</t>
  </si>
  <si>
    <t>Quantidade de Parcelas</t>
  </si>
  <si>
    <t>DADOS CONTRATUAIS X REGISTRO CONTÁBIL</t>
  </si>
  <si>
    <t>Descrição</t>
  </si>
  <si>
    <t>COSIF</t>
  </si>
  <si>
    <t>Valor Contabilizado</t>
  </si>
  <si>
    <t>Valor do ativo contabilizado</t>
  </si>
  <si>
    <t>2.3.2.10</t>
  </si>
  <si>
    <t>Valores residuais a realizar contabilizado</t>
  </si>
  <si>
    <t>1.7.5.10</t>
  </si>
  <si>
    <t>Total Contraprestação de Arrendamento - CPA</t>
  </si>
  <si>
    <t>1.7.1.10</t>
  </si>
  <si>
    <t>Ano</t>
  </si>
  <si>
    <t>Valor Líquido Contabilizado</t>
  </si>
  <si>
    <t>2011</t>
  </si>
  <si>
    <t>71300010030016</t>
  </si>
  <si>
    <t>SUPERVENIÊNCIA DE DEPRECIAÇÃO</t>
  </si>
  <si>
    <t>2012</t>
  </si>
  <si>
    <t>2013</t>
  </si>
  <si>
    <t>2014</t>
  </si>
  <si>
    <t>Total</t>
  </si>
  <si>
    <t>Base de Cálculo (01)-(02)-(03)</t>
  </si>
  <si>
    <t>Receita de Contraprestação - Inclui Superveniência (1)</t>
  </si>
  <si>
    <t>Dedução - Depreciação/Outras Despesas (3)</t>
  </si>
  <si>
    <t>Exclusão - Recuperção Baixada como Prejuízo (2)</t>
  </si>
  <si>
    <t>SALDOS DEVEDORES</t>
  </si>
  <si>
    <t>SALDOS CREDORES</t>
  </si>
  <si>
    <t>SALDO LÍQUIDO</t>
  </si>
  <si>
    <t>2006</t>
  </si>
  <si>
    <t>2007</t>
  </si>
  <si>
    <t>2008</t>
  </si>
  <si>
    <t>2009</t>
  </si>
  <si>
    <t>2010</t>
  </si>
  <si>
    <t>Receita de Contraprestação - Não Inclui Superveniência (1)</t>
  </si>
  <si>
    <t>Base Com Efeito da Superveniência/Insuficiência</t>
  </si>
  <si>
    <t>Base Sem Efeito da Superveniência/Insuficiência</t>
  </si>
  <si>
    <t>Diferença</t>
  </si>
  <si>
    <t>DEMONSTRAÇÃO DOS SALDOS DEVEDORES E CREDORES DE SUPERVENIÊNCIA E INSUFICIÊNCIA DE DEPRECIAÇÃO POR ANO RELATIVO À OPERAÇÃO DO CONTRATO DE ARRENDAMENTO NÚMERO 794680</t>
  </si>
  <si>
    <t>BASE DE CÁLCULO DO PIS E DA COFINS RELATIVO À OPERAÇÃO DO CONTRATO DE ARRENDAMENTO NÚMERO 794680</t>
  </si>
  <si>
    <t>BASE DE CÁLCULO DO PIS E DA COFINS SEM O EFEITO DA SUPERVENIÊNCIA/INSUFICIÊNCIA DE DEPRECIAÇÃO RELATIVO À OPERAÇÃO DO CONTRATO DE ARRENDAMENTO NÚMERO 794680</t>
  </si>
  <si>
    <t>COMPARATIVO ENTRE A BASE DE CÁLCULO DO PIS E DA COFINS COM E SEM O EFEITO DA SUPERVENIÊNCIA/INSUFICIÊNCIA DE DEPRECIAÇÃO RELATIVO À OPERAÇÃO DO CONTRATO DE ARRENDAMENTO NÚMERO 794680</t>
  </si>
  <si>
    <t>A.794680</t>
  </si>
  <si>
    <t>B.794680</t>
  </si>
  <si>
    <t>C.794680</t>
  </si>
  <si>
    <t>CARLOS ALBERTO PIRES</t>
  </si>
  <si>
    <t>34447186837</t>
  </si>
  <si>
    <t>Nº Processo:  16327.721239/2019-92</t>
  </si>
  <si>
    <t>DEMONSTRAÇÃO DO VALOR ANUAL NO RESULTADO DA SUPERVENIÊNCIA E INSUFICIÊNCIA DE DEPRECIAÇÃO CONTABILIZADOS NO PERÍODO  - CONTRATO 794680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</si>
</sst>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0"/>
      <color rgb="FF002060"/>
      <name val="KPMG Logo"/>
    </font>
    <font>
      <sz val="10"/>
      <name val="Arial"/>
      <family val="2"/>
    </font>
    <font>
      <sz val="18"/>
      <color rgb="FF003399"/>
      <name val="KPMG Logo"/>
    </font>
    <font>
      <b/>
      <sz val="13"/>
      <color theme="1"/>
      <name val="KPMG Bold"/>
      <family val="2"/>
    </font>
    <font>
      <sz val="13"/>
      <color theme="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dotted">
        <color auto="1"/>
      </bottom>
      <diagonal/>
    </border>
  </borders>
  <cellStyleXfs count="4">
    <xf numFmtId="0" fontId="0" fillId="0" borderId="0"/>
    <xf numFmtId="43" fontId="1" fillId="0" borderId="0"/>
    <xf numFmtId="44" fontId="1" fillId="0" borderId="0"/>
    <xf numFmtId="0" fontId="3" fillId="0" borderId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4" fillId="0" borderId="0" xfId="3" applyFont="1" applyAlignment="1">
      <alignment vertical="center"/>
    </xf>
    <xf numFmtId="0" fontId="0" fillId="0" borderId="5" xfId="0" applyBorder="1"/>
    <xf numFmtId="0" fontId="5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7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40" fontId="8" fillId="0" borderId="0" xfId="1" applyNumberFormat="1" applyFont="1" applyProtection="1">
      <protection locked="0"/>
    </xf>
    <xf numFmtId="0" fontId="9" fillId="0" borderId="11" xfId="0" applyFont="1" applyBorder="1" applyAlignment="1" applyProtection="1">
      <alignment horizontal="left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11" xfId="2" applyNumberFormat="1" applyFont="1" applyBorder="1" applyAlignment="1" applyProtection="1">
      <alignment horizontal="center"/>
      <protection locked="0"/>
    </xf>
    <xf numFmtId="8" fontId="8" fillId="0" borderId="0" xfId="0" applyNumberFormat="1" applyFont="1" applyProtection="1">
      <protection locked="0"/>
    </xf>
    <xf numFmtId="8" fontId="8" fillId="0" borderId="0" xfId="2" applyNumberFormat="1" applyFont="1" applyAlignment="1" applyProtection="1">
      <alignment horizontal="center" vertical="center"/>
      <protection locked="0"/>
    </xf>
    <xf numFmtId="44" fontId="8" fillId="0" borderId="0" xfId="2" applyFont="1" applyProtection="1">
      <protection locked="0"/>
    </xf>
    <xf numFmtId="0" fontId="10" fillId="0" borderId="11" xfId="0" applyFont="1" applyBorder="1" applyAlignment="1" applyProtection="1">
      <alignment horizontal="center"/>
      <protection locked="0"/>
    </xf>
    <xf numFmtId="164" fontId="9" fillId="0" borderId="11" xfId="1" applyNumberFormat="1" applyFont="1" applyBorder="1" applyAlignment="1" applyProtection="1">
      <alignment horizontal="right"/>
      <protection locked="0"/>
    </xf>
    <xf numFmtId="164" fontId="9" fillId="0" borderId="11" xfId="0" applyNumberFormat="1" applyFont="1" applyBorder="1" applyAlignment="1" applyProtection="1">
      <alignment horizontal="right"/>
      <protection locked="0"/>
    </xf>
    <xf numFmtId="8" fontId="8" fillId="0" borderId="0" xfId="1" applyNumberFormat="1" applyFont="1" applyAlignment="1" applyProtection="1">
      <alignment horizontal="right"/>
      <protection locked="0"/>
    </xf>
    <xf numFmtId="164" fontId="11" fillId="0" borderId="11" xfId="0" applyNumberFormat="1" applyFont="1" applyBorder="1" applyAlignment="1" applyProtection="1">
      <alignment horizontal="right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64" fontId="11" fillId="0" borderId="10" xfId="0" applyNumberFormat="1" applyFont="1" applyBorder="1" applyAlignment="1" applyProtection="1">
      <alignment horizontal="right"/>
      <protection locked="0"/>
    </xf>
    <xf numFmtId="0" fontId="0" fillId="0" borderId="10" xfId="0" applyBorder="1" applyProtection="1">
      <protection locked="0"/>
    </xf>
    <xf numFmtId="0" fontId="14" fillId="2" borderId="10" xfId="0" applyFont="1" applyFill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/>
      <protection locked="0"/>
    </xf>
    <xf numFmtId="8" fontId="15" fillId="0" borderId="0" xfId="1" applyNumberFormat="1" applyFont="1" applyAlignment="1" applyProtection="1">
      <alignment horizontal="right"/>
      <protection locked="0"/>
    </xf>
    <xf numFmtId="0" fontId="15" fillId="0" borderId="0" xfId="0" applyFont="1" applyAlignment="1" applyProtection="1">
      <alignment vertical="center"/>
      <protection locked="0"/>
    </xf>
    <xf numFmtId="0" fontId="14" fillId="2" borderId="10" xfId="1" applyNumberFormat="1" applyFont="1" applyFill="1" applyBorder="1" applyAlignment="1" applyProtection="1">
      <alignment horizontal="center" vertical="center"/>
      <protection locked="0"/>
    </xf>
    <xf numFmtId="40" fontId="15" fillId="0" borderId="0" xfId="1" applyNumberFormat="1" applyFont="1" applyProtection="1">
      <protection locked="0"/>
    </xf>
    <xf numFmtId="40" fontId="13" fillId="0" borderId="0" xfId="0" applyNumberFormat="1" applyFont="1" applyProtection="1">
      <protection locked="0"/>
    </xf>
    <xf numFmtId="43" fontId="1" fillId="0" borderId="10" xfId="1" applyBorder="1"/>
    <xf numFmtId="164" fontId="9" fillId="0" borderId="17" xfId="1" applyNumberFormat="1" applyFont="1" applyBorder="1" applyProtection="1">
      <protection locked="0"/>
    </xf>
    <xf numFmtId="164" fontId="9" fillId="0" borderId="12" xfId="1" applyNumberFormat="1" applyFont="1" applyBorder="1" applyProtection="1">
      <protection locked="0"/>
    </xf>
    <xf numFmtId="164" fontId="11" fillId="0" borderId="17" xfId="1" applyNumberFormat="1" applyFont="1" applyBorder="1" applyProtection="1">
      <protection locked="0"/>
    </xf>
    <xf numFmtId="164" fontId="10" fillId="0" borderId="17" xfId="1" applyNumberFormat="1" applyFont="1" applyBorder="1" applyProtection="1">
      <protection locked="0"/>
    </xf>
    <xf numFmtId="164" fontId="11" fillId="0" borderId="10" xfId="1" applyNumberFormat="1" applyFont="1" applyBorder="1" applyProtection="1">
      <protection locked="0"/>
    </xf>
    <xf numFmtId="164" fontId="10" fillId="0" borderId="10" xfId="1" applyNumberFormat="1" applyFont="1" applyBorder="1" applyProtection="1">
      <protection locked="0"/>
    </xf>
    <xf numFmtId="14" fontId="9" fillId="0" borderId="11" xfId="0" applyNumberFormat="1" applyFont="1" applyBorder="1" applyAlignment="1" applyProtection="1">
      <alignment horizontal="center"/>
      <protection locked="0"/>
    </xf>
    <xf numFmtId="8" fontId="9" fillId="0" borderId="11" xfId="2" applyNumberFormat="1" applyFont="1" applyBorder="1" applyAlignment="1" applyProtection="1">
      <alignment horizontal="center"/>
      <protection locked="0"/>
    </xf>
    <xf numFmtId="0" fontId="5" fillId="0" borderId="6" xfId="0" applyFont="1" applyBorder="1" applyAlignment="1">
      <alignment vertical="center"/>
    </xf>
    <xf numFmtId="164" fontId="9" fillId="0" borderId="17" xfId="1" applyNumberFormat="1" applyFont="1" applyBorder="1" applyAlignment="1" applyProtection="1">
      <alignment horizontal="right"/>
      <protection locked="0"/>
    </xf>
    <xf numFmtId="164" fontId="9" fillId="0" borderId="12" xfId="1" applyNumberFormat="1" applyFont="1" applyBorder="1" applyAlignment="1" applyProtection="1">
      <alignment horizontal="right"/>
      <protection locked="0"/>
    </xf>
    <xf numFmtId="0" fontId="14" fillId="2" borderId="10" xfId="0" applyFont="1" applyFill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164" fontId="9" fillId="0" borderId="11" xfId="2" applyNumberFormat="1" applyFont="1" applyBorder="1" applyAlignment="1" applyProtection="1">
      <alignment horizontal="right"/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164" fontId="12" fillId="0" borderId="17" xfId="1" applyNumberFormat="1" applyFont="1" applyBorder="1" applyAlignment="1" applyProtection="1">
      <alignment horizontal="right"/>
      <protection locked="0"/>
    </xf>
    <xf numFmtId="164" fontId="12" fillId="0" borderId="12" xfId="1" applyNumberFormat="1" applyFont="1" applyBorder="1" applyAlignment="1" applyProtection="1">
      <alignment horizontal="right"/>
      <protection locked="0"/>
    </xf>
    <xf numFmtId="0" fontId="14" fillId="2" borderId="18" xfId="0" applyFont="1" applyFill="1" applyBorder="1" applyAlignment="1" applyProtection="1">
      <alignment horizontal="center" vertical="center"/>
      <protection locked="0"/>
    </xf>
    <xf numFmtId="0" fontId="13" fillId="0" borderId="19" xfId="0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Protection="1">
      <protection locked="0"/>
    </xf>
    <xf numFmtId="164" fontId="9" fillId="0" borderId="17" xfId="0" applyNumberFormat="1" applyFont="1" applyBorder="1" applyAlignment="1" applyProtection="1">
      <alignment horizontal="right"/>
      <protection locked="0"/>
    </xf>
    <xf numFmtId="164" fontId="9" fillId="0" borderId="12" xfId="0" applyNumberFormat="1" applyFont="1" applyBorder="1" applyAlignment="1" applyProtection="1">
      <alignment horizontal="right"/>
      <protection locked="0"/>
    </xf>
    <xf numFmtId="164" fontId="11" fillId="0" borderId="17" xfId="0" applyNumberFormat="1" applyFont="1" applyBorder="1" applyAlignment="1" applyProtection="1">
      <alignment horizontal="right"/>
      <protection locked="0"/>
    </xf>
    <xf numFmtId="164" fontId="11" fillId="0" borderId="12" xfId="0" applyNumberFormat="1" applyFont="1" applyBorder="1" applyAlignment="1" applyProtection="1">
      <alignment horizontal="right"/>
      <protection locked="0"/>
    </xf>
    <xf numFmtId="0" fontId="14" fillId="2" borderId="16" xfId="1" applyNumberFormat="1" applyFont="1" applyFill="1" applyBorder="1" applyAlignment="1" applyProtection="1">
      <alignment horizontal="center" vertical="center"/>
      <protection locked="0"/>
    </xf>
    <xf numFmtId="164" fontId="11" fillId="0" borderId="11" xfId="1" applyNumberFormat="1" applyFont="1" applyBorder="1" applyAlignment="1" applyProtection="1">
      <alignment horizontal="right"/>
      <protection locked="0"/>
    </xf>
    <xf numFmtId="164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164" fontId="11" fillId="0" borderId="17" xfId="1" applyNumberFormat="1" applyFont="1" applyBorder="1" applyAlignment="1" applyProtection="1">
      <alignment horizontal="right"/>
      <protection locked="0"/>
    </xf>
    <xf numFmtId="164" fontId="11" fillId="0" borderId="12" xfId="1" applyNumberFormat="1" applyFont="1" applyBorder="1" applyAlignment="1" applyProtection="1">
      <alignment horizontal="right"/>
      <protection locked="0"/>
    </xf>
  </cellXfs>
  <cellStyles count="4">
    <cellStyle name="Moeda" xfId="2" builtinId="4"/>
    <cellStyle name="Normal" xfId="0" builtinId="0"/>
    <cellStyle name="Normal 2" xfId="3" xr:uid="{00000000-0005-0000-0000-000003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09"/>
  <sheetViews>
    <sheetView showGridLines="0" tabSelected="1" topLeftCell="A66" zoomScale="60" zoomScaleNormal="60" workbookViewId="0">
      <selection activeCell="F30" sqref="F30:F39"/>
    </sheetView>
  </sheetViews>
  <sheetFormatPr defaultRowHeight="14.5"/>
  <cols>
    <col min="1" max="1" width="0.81640625" customWidth="1"/>
    <col min="2" max="3" width="1.54296875" customWidth="1"/>
    <col min="4" max="4" width="41.7265625" customWidth="1"/>
    <col min="5" max="5" width="64.54296875" customWidth="1"/>
    <col min="6" max="6" width="55.26953125" bestFit="1" customWidth="1"/>
    <col min="7" max="7" width="49.26953125" bestFit="1" customWidth="1"/>
    <col min="8" max="8" width="33.453125" bestFit="1" customWidth="1"/>
    <col min="9" max="9" width="19.453125" customWidth="1"/>
    <col min="10" max="10" width="1.54296875" customWidth="1"/>
    <col min="11" max="11" width="1.453125" customWidth="1"/>
    <col min="12" max="12" width="4.1796875" customWidth="1"/>
    <col min="13" max="13" width="15.453125" customWidth="1"/>
  </cols>
  <sheetData>
    <row r="3" spans="3:10">
      <c r="C3" s="1"/>
      <c r="D3" s="2"/>
      <c r="E3" s="2"/>
      <c r="F3" s="2"/>
      <c r="G3" s="2"/>
      <c r="H3" s="2"/>
      <c r="I3" s="2"/>
      <c r="J3" s="3"/>
    </row>
    <row r="4" spans="3:10" ht="32.15" customHeight="1">
      <c r="C4" s="4"/>
      <c r="D4" s="5" t="s">
        <v>0</v>
      </c>
      <c r="E4" s="5"/>
      <c r="F4" s="5"/>
      <c r="J4" s="6"/>
    </row>
    <row r="5" spans="3:10" ht="20.149999999999999" customHeight="1">
      <c r="C5" s="4"/>
      <c r="D5" s="59" t="s">
        <v>59</v>
      </c>
      <c r="E5" s="7"/>
      <c r="F5" s="7"/>
      <c r="G5" s="2"/>
      <c r="H5" s="2"/>
      <c r="I5" s="2"/>
      <c r="J5" s="6"/>
    </row>
    <row r="6" spans="3:10" s="12" customFormat="1" ht="17.5" customHeight="1">
      <c r="C6" s="8"/>
      <c r="D6" s="9" t="s">
        <v>1</v>
      </c>
      <c r="E6" s="9"/>
      <c r="F6" s="9"/>
      <c r="G6" s="10"/>
      <c r="H6" s="10"/>
      <c r="I6" s="10"/>
      <c r="J6" s="11"/>
    </row>
    <row r="7" spans="3:10" s="12" customFormat="1" ht="15" customHeight="1">
      <c r="C7" s="8"/>
      <c r="D7" s="13"/>
      <c r="E7" s="13"/>
      <c r="F7" s="13"/>
      <c r="J7" s="11"/>
    </row>
    <row r="8" spans="3:10" ht="15" customHeight="1">
      <c r="C8" s="14"/>
      <c r="D8" s="19"/>
      <c r="E8" s="19"/>
      <c r="F8" s="19"/>
      <c r="G8" s="18"/>
      <c r="H8" s="19"/>
      <c r="I8" s="19"/>
      <c r="J8" s="6"/>
    </row>
    <row r="9" spans="3:10" ht="15" customHeight="1">
      <c r="C9" s="14"/>
      <c r="D9" s="77" t="s">
        <v>2</v>
      </c>
      <c r="E9" s="78"/>
      <c r="F9" s="78"/>
      <c r="G9" s="78"/>
      <c r="H9" s="78"/>
      <c r="I9" s="78"/>
      <c r="J9" s="6"/>
    </row>
    <row r="10" spans="3:10" ht="15" hidden="1" customHeight="1">
      <c r="C10" s="14"/>
      <c r="D10" s="42"/>
      <c r="E10" s="42"/>
      <c r="F10" s="42"/>
      <c r="G10" s="42"/>
      <c r="H10" s="42"/>
      <c r="I10" s="42"/>
      <c r="J10" s="6"/>
    </row>
    <row r="11" spans="3:10" ht="15" customHeight="1">
      <c r="C11" s="14"/>
      <c r="D11" s="40" t="s">
        <v>3</v>
      </c>
      <c r="E11" s="40" t="s">
        <v>4</v>
      </c>
      <c r="F11" s="40" t="s">
        <v>5</v>
      </c>
      <c r="G11" s="62" t="s">
        <v>6</v>
      </c>
      <c r="H11" s="63"/>
      <c r="I11" s="40" t="s">
        <v>7</v>
      </c>
      <c r="J11" s="6"/>
    </row>
    <row r="12" spans="3:10" ht="15" customHeight="1">
      <c r="C12" s="14"/>
      <c r="D12" s="26" t="s">
        <v>8</v>
      </c>
      <c r="E12" s="27">
        <v>794680</v>
      </c>
      <c r="F12" s="27">
        <v>794680</v>
      </c>
      <c r="G12" s="67" t="str">
        <f>IF(E12=F12,"Conferido","Divergente")</f>
        <v>Conferido</v>
      </c>
      <c r="H12" s="68"/>
      <c r="I12" s="64" t="s">
        <v>54</v>
      </c>
      <c r="J12" s="6"/>
    </row>
    <row r="13" spans="3:10" ht="15" customHeight="1">
      <c r="C13" s="14"/>
      <c r="D13" s="26" t="s">
        <v>9</v>
      </c>
      <c r="E13" s="27" t="s">
        <v>57</v>
      </c>
      <c r="F13" s="27" t="s">
        <v>57</v>
      </c>
      <c r="G13" s="67" t="str">
        <f t="shared" ref="G13:G18" si="0">IF(E13=F13,"Conferido","Divergente")</f>
        <v>Conferido</v>
      </c>
      <c r="H13" s="68"/>
      <c r="I13" s="65"/>
      <c r="J13" s="6"/>
    </row>
    <row r="14" spans="3:10" ht="15" customHeight="1">
      <c r="C14" s="14"/>
      <c r="D14" s="26" t="s">
        <v>10</v>
      </c>
      <c r="E14" s="27" t="s">
        <v>58</v>
      </c>
      <c r="F14" s="27"/>
      <c r="G14" s="67" t="str">
        <f t="shared" si="0"/>
        <v>Divergente</v>
      </c>
      <c r="H14" s="68"/>
      <c r="I14" s="65"/>
      <c r="J14" s="6"/>
    </row>
    <row r="15" spans="3:10" ht="15" customHeight="1">
      <c r="C15" s="14"/>
      <c r="D15" s="26" t="s">
        <v>11</v>
      </c>
      <c r="E15" s="58">
        <v>17951</v>
      </c>
      <c r="F15" s="58">
        <v>17951</v>
      </c>
      <c r="G15" s="67" t="str">
        <f t="shared" si="0"/>
        <v>Conferido</v>
      </c>
      <c r="H15" s="68"/>
      <c r="I15" s="65"/>
      <c r="J15" s="6"/>
    </row>
    <row r="16" spans="3:10" ht="15" customHeight="1">
      <c r="C16" s="14"/>
      <c r="D16" s="26" t="s">
        <v>12</v>
      </c>
      <c r="E16" s="57">
        <v>38807</v>
      </c>
      <c r="F16" s="57">
        <v>38807</v>
      </c>
      <c r="G16" s="67" t="str">
        <f t="shared" si="0"/>
        <v>Conferido</v>
      </c>
      <c r="H16" s="68"/>
      <c r="I16" s="65"/>
      <c r="J16" s="6"/>
    </row>
    <row r="17" spans="3:10" ht="15" customHeight="1">
      <c r="C17" s="14"/>
      <c r="D17" s="26" t="s">
        <v>13</v>
      </c>
      <c r="E17" s="57">
        <v>40663</v>
      </c>
      <c r="F17" s="57">
        <v>40663</v>
      </c>
      <c r="G17" s="67" t="str">
        <f t="shared" si="0"/>
        <v>Conferido</v>
      </c>
      <c r="H17" s="68"/>
      <c r="I17" s="65"/>
      <c r="J17" s="6"/>
    </row>
    <row r="18" spans="3:10" ht="15" customHeight="1">
      <c r="C18" s="14"/>
      <c r="D18" s="26" t="s">
        <v>14</v>
      </c>
      <c r="E18" s="27">
        <v>60</v>
      </c>
      <c r="F18" s="27">
        <v>60</v>
      </c>
      <c r="G18" s="67" t="str">
        <f t="shared" si="0"/>
        <v>Conferido</v>
      </c>
      <c r="H18" s="68"/>
      <c r="I18" s="66"/>
      <c r="J18" s="6"/>
    </row>
    <row r="19" spans="3:10" ht="15" customHeight="1">
      <c r="C19" s="14"/>
      <c r="D19" s="21"/>
      <c r="E19" s="29"/>
      <c r="F19" s="29"/>
      <c r="G19" s="30"/>
      <c r="H19" s="20"/>
      <c r="I19" s="23"/>
      <c r="J19" s="6"/>
    </row>
    <row r="20" spans="3:10" ht="15" customHeight="1">
      <c r="C20" s="14"/>
      <c r="D20" s="77" t="s">
        <v>15</v>
      </c>
      <c r="E20" s="78"/>
      <c r="F20" s="78"/>
      <c r="G20" s="78"/>
      <c r="H20" s="78"/>
      <c r="I20" s="78"/>
      <c r="J20" s="6"/>
    </row>
    <row r="21" spans="3:10" ht="15" hidden="1" customHeight="1">
      <c r="C21" s="14"/>
      <c r="D21" s="43"/>
      <c r="E21" s="43"/>
      <c r="F21" s="43"/>
      <c r="G21" s="43"/>
      <c r="H21" s="43"/>
      <c r="I21" s="43"/>
      <c r="J21" s="6"/>
    </row>
    <row r="22" spans="3:10" ht="15" customHeight="1">
      <c r="C22" s="14"/>
      <c r="D22" s="40" t="s">
        <v>16</v>
      </c>
      <c r="E22" s="40" t="s">
        <v>17</v>
      </c>
      <c r="F22" s="62" t="s">
        <v>18</v>
      </c>
      <c r="G22" s="63"/>
      <c r="H22" s="63"/>
      <c r="I22" s="40" t="s">
        <v>7</v>
      </c>
      <c r="J22" s="6"/>
    </row>
    <row r="23" spans="3:10" ht="15" customHeight="1">
      <c r="C23" s="14"/>
      <c r="D23" s="26" t="s">
        <v>19</v>
      </c>
      <c r="E23" s="28" t="s">
        <v>20</v>
      </c>
      <c r="F23" s="69">
        <v>17951</v>
      </c>
      <c r="G23" s="70"/>
      <c r="H23" s="71"/>
      <c r="I23" s="64" t="s">
        <v>55</v>
      </c>
      <c r="J23" s="6"/>
    </row>
    <row r="24" spans="3:10" ht="15" customHeight="1">
      <c r="C24" s="14"/>
      <c r="D24" s="26" t="s">
        <v>21</v>
      </c>
      <c r="E24" s="28" t="s">
        <v>22</v>
      </c>
      <c r="F24" s="69">
        <v>17950.599999999999</v>
      </c>
      <c r="G24" s="70"/>
      <c r="H24" s="71"/>
      <c r="I24" s="65"/>
      <c r="J24" s="6"/>
    </row>
    <row r="25" spans="3:10" ht="15" customHeight="1">
      <c r="C25" s="14"/>
      <c r="D25" s="26" t="s">
        <v>23</v>
      </c>
      <c r="E25" s="28" t="s">
        <v>24</v>
      </c>
      <c r="F25" s="69">
        <v>14346.9</v>
      </c>
      <c r="G25" s="70"/>
      <c r="H25" s="71"/>
      <c r="I25" s="66"/>
      <c r="J25" s="6"/>
    </row>
    <row r="26" spans="3:10" ht="15" customHeight="1">
      <c r="C26" s="14"/>
      <c r="D26" s="20"/>
      <c r="E26" s="21"/>
      <c r="F26" s="31"/>
      <c r="G26" s="31"/>
      <c r="H26" s="31"/>
      <c r="I26" s="21"/>
      <c r="J26" s="6"/>
    </row>
    <row r="27" spans="3:10" ht="15" customHeight="1">
      <c r="C27" s="14"/>
      <c r="D27" s="77" t="s">
        <v>60</v>
      </c>
      <c r="E27" s="78"/>
      <c r="F27" s="78"/>
      <c r="G27" s="78"/>
      <c r="H27" s="78"/>
      <c r="I27" s="78"/>
      <c r="J27" s="6"/>
    </row>
    <row r="28" spans="3:10" ht="15" hidden="1" customHeight="1">
      <c r="C28" s="14"/>
      <c r="D28" s="42"/>
      <c r="E28" s="42"/>
      <c r="F28" s="42"/>
      <c r="G28" s="42"/>
      <c r="H28" s="42"/>
      <c r="I28" s="42"/>
      <c r="J28" s="6"/>
    </row>
    <row r="29" spans="3:10" ht="15" customHeight="1">
      <c r="C29" s="14"/>
      <c r="D29" s="40" t="s">
        <v>25</v>
      </c>
      <c r="E29" s="40" t="s">
        <v>17</v>
      </c>
      <c r="F29" s="40" t="s">
        <v>16</v>
      </c>
      <c r="G29" s="62" t="s">
        <v>26</v>
      </c>
      <c r="H29" s="63"/>
      <c r="I29" s="40" t="s">
        <v>7</v>
      </c>
      <c r="J29" s="6"/>
    </row>
    <row r="30" spans="3:10" ht="15" customHeight="1">
      <c r="C30" s="14"/>
      <c r="D30" s="32" t="s">
        <v>41</v>
      </c>
      <c r="E30" s="86" t="s">
        <v>28</v>
      </c>
      <c r="F30" s="85" t="s">
        <v>29</v>
      </c>
      <c r="G30" s="60">
        <v>6831.8</v>
      </c>
      <c r="H30" s="61"/>
      <c r="I30" s="64" t="s">
        <v>55</v>
      </c>
      <c r="J30" s="6"/>
    </row>
    <row r="31" spans="3:10" ht="15" customHeight="1">
      <c r="C31" s="14"/>
      <c r="D31" s="32" t="s">
        <v>42</v>
      </c>
      <c r="E31" s="65"/>
      <c r="F31" s="65"/>
      <c r="G31" s="60">
        <v>7180.4400000000005</v>
      </c>
      <c r="H31" s="61"/>
      <c r="I31" s="65"/>
      <c r="J31" s="6"/>
    </row>
    <row r="32" spans="3:10" ht="15" customHeight="1">
      <c r="C32" s="14"/>
      <c r="D32" s="32" t="s">
        <v>43</v>
      </c>
      <c r="E32" s="65"/>
      <c r="F32" s="65"/>
      <c r="G32" s="60">
        <v>4786.96</v>
      </c>
      <c r="H32" s="61"/>
      <c r="I32" s="65"/>
      <c r="J32" s="6"/>
    </row>
    <row r="33" spans="3:10" ht="15" customHeight="1">
      <c r="C33" s="14"/>
      <c r="D33" s="32" t="s">
        <v>44</v>
      </c>
      <c r="E33" s="65"/>
      <c r="F33" s="65"/>
      <c r="G33" s="60">
        <v>0.01</v>
      </c>
      <c r="H33" s="61"/>
      <c r="I33" s="65"/>
      <c r="J33" s="6"/>
    </row>
    <row r="34" spans="3:10" ht="15" customHeight="1">
      <c r="C34" s="14"/>
      <c r="D34" s="32" t="s">
        <v>45</v>
      </c>
      <c r="E34" s="65"/>
      <c r="F34" s="65"/>
      <c r="G34" s="60">
        <v>0</v>
      </c>
      <c r="H34" s="61"/>
      <c r="I34" s="65"/>
      <c r="J34" s="6"/>
    </row>
    <row r="35" spans="3:10" ht="15" customHeight="1">
      <c r="C35" s="14"/>
      <c r="D35" s="32" t="s">
        <v>27</v>
      </c>
      <c r="E35" s="65"/>
      <c r="F35" s="65"/>
      <c r="G35" s="60">
        <v>0</v>
      </c>
      <c r="H35" s="61"/>
      <c r="I35" s="65"/>
      <c r="J35" s="6"/>
    </row>
    <row r="36" spans="3:10" ht="15" customHeight="1">
      <c r="C36" s="14"/>
      <c r="D36" s="32" t="s">
        <v>30</v>
      </c>
      <c r="E36" s="65"/>
      <c r="F36" s="65"/>
      <c r="G36" s="60">
        <v>0</v>
      </c>
      <c r="H36" s="61"/>
      <c r="I36" s="65"/>
      <c r="J36" s="6"/>
    </row>
    <row r="37" spans="3:10" ht="15" customHeight="1">
      <c r="C37" s="14"/>
      <c r="D37" s="32" t="s">
        <v>31</v>
      </c>
      <c r="E37" s="65"/>
      <c r="F37" s="65"/>
      <c r="G37" s="60">
        <v>0</v>
      </c>
      <c r="H37" s="61"/>
      <c r="I37" s="65"/>
      <c r="J37" s="6"/>
    </row>
    <row r="38" spans="3:10" ht="15" customHeight="1">
      <c r="C38" s="14"/>
      <c r="D38" s="32" t="s">
        <v>32</v>
      </c>
      <c r="E38" s="65"/>
      <c r="F38" s="65"/>
      <c r="G38" s="72">
        <v>-18799.21</v>
      </c>
      <c r="H38" s="73"/>
      <c r="I38" s="65"/>
      <c r="J38" s="6"/>
    </row>
    <row r="39" spans="3:10" ht="15" customHeight="1">
      <c r="C39" s="14"/>
      <c r="D39" s="32" t="s">
        <v>33</v>
      </c>
      <c r="E39" s="66"/>
      <c r="F39" s="66"/>
      <c r="G39" s="84">
        <v>0</v>
      </c>
      <c r="H39" s="71"/>
      <c r="I39" s="66"/>
      <c r="J39" s="6"/>
    </row>
    <row r="40" spans="3:10" ht="15" customHeight="1">
      <c r="C40" s="14"/>
      <c r="D40" s="20"/>
      <c r="E40" s="35"/>
      <c r="F40" s="35"/>
      <c r="G40" s="35"/>
      <c r="H40" s="35"/>
      <c r="I40" s="22"/>
      <c r="J40" s="6"/>
    </row>
    <row r="41" spans="3:10" ht="15" customHeight="1">
      <c r="C41" s="14"/>
      <c r="D41" s="74" t="s">
        <v>50</v>
      </c>
      <c r="E41" s="75"/>
      <c r="F41" s="75"/>
      <c r="G41" s="75"/>
      <c r="H41" s="75"/>
      <c r="I41" s="76"/>
      <c r="J41" s="6"/>
    </row>
    <row r="42" spans="3:10" ht="15" hidden="1" customHeight="1">
      <c r="C42" s="14"/>
      <c r="D42" s="44"/>
      <c r="E42" s="45"/>
      <c r="F42" s="45"/>
      <c r="G42" s="45"/>
      <c r="H42" s="45"/>
      <c r="I42" s="46"/>
      <c r="J42" s="6"/>
    </row>
    <row r="43" spans="3:10" ht="15" customHeight="1">
      <c r="C43" s="14"/>
      <c r="D43" s="40" t="s">
        <v>25</v>
      </c>
      <c r="E43" s="47" t="s">
        <v>38</v>
      </c>
      <c r="F43" s="47" t="s">
        <v>39</v>
      </c>
      <c r="G43" s="83" t="s">
        <v>40</v>
      </c>
      <c r="H43" s="83"/>
      <c r="I43" s="40" t="s">
        <v>7</v>
      </c>
      <c r="J43" s="6"/>
    </row>
    <row r="44" spans="3:10" ht="15" customHeight="1">
      <c r="C44" s="14"/>
      <c r="D44" s="32" t="s">
        <v>41</v>
      </c>
      <c r="E44" s="33">
        <v>0</v>
      </c>
      <c r="F44" s="33">
        <f>G30</f>
        <v>6831.8</v>
      </c>
      <c r="G44" s="60">
        <f t="shared" ref="G44:G52" si="1">E44-F44</f>
        <v>-6831.8</v>
      </c>
      <c r="H44" s="61"/>
      <c r="I44" s="64" t="s">
        <v>55</v>
      </c>
      <c r="J44" s="6"/>
    </row>
    <row r="45" spans="3:10" ht="15" customHeight="1">
      <c r="C45" s="14"/>
      <c r="D45" s="32" t="s">
        <v>42</v>
      </c>
      <c r="E45" s="33">
        <v>0</v>
      </c>
      <c r="F45" s="33">
        <f t="shared" ref="F45:F46" si="2">G31</f>
        <v>7180.4400000000005</v>
      </c>
      <c r="G45" s="60">
        <f t="shared" si="1"/>
        <v>-7180.4400000000005</v>
      </c>
      <c r="H45" s="61"/>
      <c r="I45" s="65"/>
      <c r="J45" s="6"/>
    </row>
    <row r="46" spans="3:10" ht="15" customHeight="1">
      <c r="C46" s="14"/>
      <c r="D46" s="32" t="s">
        <v>43</v>
      </c>
      <c r="E46" s="33">
        <v>0</v>
      </c>
      <c r="F46" s="33">
        <f t="shared" si="2"/>
        <v>4786.96</v>
      </c>
      <c r="G46" s="60">
        <f t="shared" si="1"/>
        <v>-4786.96</v>
      </c>
      <c r="H46" s="61"/>
      <c r="I46" s="65"/>
      <c r="J46" s="6"/>
    </row>
    <row r="47" spans="3:10" ht="15" customHeight="1">
      <c r="C47" s="14"/>
      <c r="D47" s="32" t="s">
        <v>44</v>
      </c>
      <c r="E47" s="33">
        <v>0</v>
      </c>
      <c r="F47" s="33">
        <v>0</v>
      </c>
      <c r="G47" s="60">
        <f t="shared" si="1"/>
        <v>0</v>
      </c>
      <c r="H47" s="61"/>
      <c r="I47" s="65"/>
      <c r="J47" s="6"/>
    </row>
    <row r="48" spans="3:10" ht="15" customHeight="1">
      <c r="C48" s="14"/>
      <c r="D48" s="32" t="s">
        <v>45</v>
      </c>
      <c r="E48" s="33">
        <v>0</v>
      </c>
      <c r="F48" s="33">
        <v>0</v>
      </c>
      <c r="G48" s="60">
        <f t="shared" si="1"/>
        <v>0</v>
      </c>
      <c r="H48" s="61"/>
      <c r="I48" s="65"/>
      <c r="J48" s="6"/>
    </row>
    <row r="49" spans="3:10" ht="15" customHeight="1">
      <c r="C49" s="14"/>
      <c r="D49" s="32" t="s">
        <v>27</v>
      </c>
      <c r="E49" s="34">
        <v>0</v>
      </c>
      <c r="F49" s="34">
        <v>0</v>
      </c>
      <c r="G49" s="60">
        <f t="shared" si="1"/>
        <v>0</v>
      </c>
      <c r="H49" s="61"/>
      <c r="I49" s="65"/>
      <c r="J49" s="6"/>
    </row>
    <row r="50" spans="3:10" ht="15" customHeight="1">
      <c r="C50" s="14"/>
      <c r="D50" s="32" t="s">
        <v>30</v>
      </c>
      <c r="E50" s="34">
        <v>0</v>
      </c>
      <c r="F50" s="34">
        <v>0</v>
      </c>
      <c r="G50" s="60">
        <f t="shared" si="1"/>
        <v>0</v>
      </c>
      <c r="H50" s="61"/>
      <c r="I50" s="65"/>
      <c r="J50" s="6"/>
    </row>
    <row r="51" spans="3:10" ht="15" customHeight="1">
      <c r="C51" s="14"/>
      <c r="D51" s="32" t="s">
        <v>31</v>
      </c>
      <c r="E51" s="34">
        <v>0</v>
      </c>
      <c r="F51" s="34">
        <v>0</v>
      </c>
      <c r="G51" s="60">
        <f t="shared" si="1"/>
        <v>0</v>
      </c>
      <c r="H51" s="61"/>
      <c r="I51" s="65"/>
      <c r="J51" s="6"/>
    </row>
    <row r="52" spans="3:10" ht="15" customHeight="1">
      <c r="C52" s="14"/>
      <c r="D52" s="32" t="s">
        <v>32</v>
      </c>
      <c r="E52" s="34">
        <f>-G38</f>
        <v>18799.21</v>
      </c>
      <c r="F52" s="34">
        <v>0</v>
      </c>
      <c r="G52" s="79">
        <f t="shared" si="1"/>
        <v>18799.21</v>
      </c>
      <c r="H52" s="80"/>
      <c r="I52" s="65"/>
      <c r="J52" s="6"/>
    </row>
    <row r="53" spans="3:10" ht="15" customHeight="1">
      <c r="C53" s="14"/>
      <c r="D53" s="32" t="s">
        <v>33</v>
      </c>
      <c r="E53" s="36">
        <f>SUM(E44:E52)</f>
        <v>18799.21</v>
      </c>
      <c r="F53" s="36">
        <f>SUM(F44:F52)</f>
        <v>18799.2</v>
      </c>
      <c r="G53" s="81">
        <f>SUM(G44:H52)</f>
        <v>9.9999999983992893E-3</v>
      </c>
      <c r="H53" s="82"/>
      <c r="I53" s="66"/>
      <c r="J53" s="6"/>
    </row>
    <row r="54" spans="3:10" ht="15" customHeight="1">
      <c r="C54" s="14"/>
      <c r="D54" s="37"/>
      <c r="E54" s="38"/>
      <c r="F54" s="38"/>
      <c r="G54" s="38"/>
      <c r="H54" s="38"/>
      <c r="I54" s="39"/>
      <c r="J54" s="6"/>
    </row>
    <row r="55" spans="3:10" ht="15" customHeight="1">
      <c r="C55" s="14"/>
      <c r="D55" s="20"/>
      <c r="E55" s="24"/>
      <c r="F55" s="24"/>
      <c r="G55" s="25"/>
      <c r="H55" s="25"/>
      <c r="I55" s="22"/>
      <c r="J55" s="6"/>
    </row>
    <row r="56" spans="3:10" ht="15" customHeight="1">
      <c r="C56" s="14"/>
      <c r="D56" s="77" t="s">
        <v>51</v>
      </c>
      <c r="E56" s="78"/>
      <c r="F56" s="78"/>
      <c r="G56" s="78"/>
      <c r="H56" s="78"/>
      <c r="I56" s="78"/>
      <c r="J56" s="6"/>
    </row>
    <row r="57" spans="3:10" ht="15" hidden="1" customHeight="1">
      <c r="C57" s="14"/>
      <c r="D57" s="43"/>
      <c r="E57" s="41"/>
      <c r="F57" s="41"/>
      <c r="G57" s="48"/>
      <c r="H57" s="49"/>
      <c r="I57" s="46"/>
      <c r="J57" s="6"/>
    </row>
    <row r="58" spans="3:10" ht="15" customHeight="1">
      <c r="C58" s="14"/>
      <c r="D58" s="40" t="s">
        <v>25</v>
      </c>
      <c r="E58" s="40" t="s">
        <v>35</v>
      </c>
      <c r="F58" s="40" t="s">
        <v>37</v>
      </c>
      <c r="G58" s="40" t="s">
        <v>36</v>
      </c>
      <c r="H58" s="40" t="s">
        <v>34</v>
      </c>
      <c r="I58" s="40" t="s">
        <v>7</v>
      </c>
      <c r="J58" s="6"/>
    </row>
    <row r="59" spans="3:10" ht="15" customHeight="1">
      <c r="C59" s="14"/>
      <c r="D59" s="32" t="s">
        <v>41</v>
      </c>
      <c r="E59" s="33">
        <v>8472.340000000002</v>
      </c>
      <c r="F59" s="33">
        <v>0</v>
      </c>
      <c r="G59" s="51">
        <v>5983.6</v>
      </c>
      <c r="H59" s="52">
        <f>E59-F59-G59</f>
        <v>2488.7400000000016</v>
      </c>
      <c r="I59" s="64" t="s">
        <v>56</v>
      </c>
      <c r="J59" s="6"/>
    </row>
    <row r="60" spans="3:10" ht="15" customHeight="1">
      <c r="C60" s="14"/>
      <c r="D60" s="32" t="s">
        <v>42</v>
      </c>
      <c r="E60" s="33">
        <v>7180.4400000000005</v>
      </c>
      <c r="F60" s="33">
        <v>0</v>
      </c>
      <c r="G60" s="51">
        <v>7180.44</v>
      </c>
      <c r="H60" s="52">
        <f t="shared" ref="H60:H67" si="3">E60-F60-G60</f>
        <v>0</v>
      </c>
      <c r="I60" s="65"/>
      <c r="J60" s="6"/>
    </row>
    <row r="61" spans="3:10" ht="15" customHeight="1">
      <c r="C61" s="14"/>
      <c r="D61" s="32" t="s">
        <v>43</v>
      </c>
      <c r="E61" s="33">
        <v>4786.96</v>
      </c>
      <c r="F61" s="33">
        <v>0</v>
      </c>
      <c r="G61" s="51">
        <v>4786.96</v>
      </c>
      <c r="H61" s="52">
        <f t="shared" si="3"/>
        <v>0</v>
      </c>
      <c r="I61" s="65"/>
      <c r="J61" s="6"/>
    </row>
    <row r="62" spans="3:10" ht="15" customHeight="1">
      <c r="C62" s="14"/>
      <c r="D62" s="32" t="s">
        <v>44</v>
      </c>
      <c r="E62" s="33">
        <v>0</v>
      </c>
      <c r="F62" s="33">
        <v>0.01</v>
      </c>
      <c r="G62" s="51">
        <v>0</v>
      </c>
      <c r="H62" s="52">
        <f t="shared" si="3"/>
        <v>-0.01</v>
      </c>
      <c r="I62" s="65"/>
      <c r="J62" s="6"/>
    </row>
    <row r="63" spans="3:10" ht="15" customHeight="1">
      <c r="C63" s="14"/>
      <c r="D63" s="32" t="s">
        <v>45</v>
      </c>
      <c r="E63" s="33">
        <v>0</v>
      </c>
      <c r="F63" s="33">
        <v>0</v>
      </c>
      <c r="G63" s="51">
        <v>0</v>
      </c>
      <c r="H63" s="52">
        <f t="shared" si="3"/>
        <v>0</v>
      </c>
      <c r="I63" s="65"/>
      <c r="J63" s="6"/>
    </row>
    <row r="64" spans="3:10" ht="15" customHeight="1">
      <c r="C64" s="14"/>
      <c r="D64" s="32" t="s">
        <v>27</v>
      </c>
      <c r="E64" s="33">
        <v>0</v>
      </c>
      <c r="F64" s="33">
        <v>0</v>
      </c>
      <c r="G64" s="51">
        <v>0</v>
      </c>
      <c r="H64" s="52">
        <f t="shared" si="3"/>
        <v>0</v>
      </c>
      <c r="I64" s="65"/>
      <c r="J64" s="6"/>
    </row>
    <row r="65" spans="3:10" ht="15" customHeight="1">
      <c r="C65" s="14"/>
      <c r="D65" s="32" t="s">
        <v>30</v>
      </c>
      <c r="E65" s="33">
        <v>0</v>
      </c>
      <c r="F65" s="33">
        <v>0</v>
      </c>
      <c r="G65" s="51">
        <v>0</v>
      </c>
      <c r="H65" s="52">
        <f t="shared" si="3"/>
        <v>0</v>
      </c>
      <c r="I65" s="65"/>
      <c r="J65" s="6"/>
    </row>
    <row r="66" spans="3:10" ht="15" customHeight="1">
      <c r="C66" s="14"/>
      <c r="D66" s="32" t="s">
        <v>31</v>
      </c>
      <c r="E66" s="33">
        <v>0</v>
      </c>
      <c r="F66" s="33">
        <v>0</v>
      </c>
      <c r="G66" s="51">
        <v>0</v>
      </c>
      <c r="H66" s="52">
        <f t="shared" si="3"/>
        <v>0</v>
      </c>
      <c r="I66" s="65"/>
      <c r="J66" s="6"/>
    </row>
    <row r="67" spans="3:10" ht="15" customHeight="1">
      <c r="C67" s="14"/>
      <c r="D67" s="32" t="s">
        <v>32</v>
      </c>
      <c r="E67" s="33">
        <v>29717.52</v>
      </c>
      <c r="F67" s="33">
        <v>17436.07</v>
      </c>
      <c r="G67" s="51">
        <v>0</v>
      </c>
      <c r="H67" s="52">
        <f t="shared" si="3"/>
        <v>12281.45</v>
      </c>
      <c r="I67" s="65"/>
      <c r="J67" s="6"/>
    </row>
    <row r="68" spans="3:10" ht="15" customHeight="1">
      <c r="C68" s="14"/>
      <c r="D68" s="32" t="s">
        <v>33</v>
      </c>
      <c r="E68" s="53">
        <f>SUM(E59:E67)</f>
        <v>50157.26</v>
      </c>
      <c r="F68" s="54">
        <f>-SUM(F59:F67)</f>
        <v>-17436.079999999998</v>
      </c>
      <c r="G68" s="54">
        <f>-SUM(G59:G67)</f>
        <v>-17951</v>
      </c>
      <c r="H68" s="53">
        <f>SUM(H59:H67)</f>
        <v>14770.180000000002</v>
      </c>
      <c r="I68" s="66"/>
      <c r="J68" s="6"/>
    </row>
    <row r="69" spans="3:10" ht="15" customHeight="1">
      <c r="C69" s="14"/>
      <c r="D69" s="37"/>
      <c r="E69" s="55"/>
      <c r="F69" s="56"/>
      <c r="G69" s="56"/>
      <c r="H69" s="55"/>
      <c r="I69" s="39"/>
      <c r="J69" s="6"/>
    </row>
    <row r="70" spans="3:10" ht="15" customHeight="1">
      <c r="C70" s="14"/>
      <c r="D70" s="77" t="s">
        <v>52</v>
      </c>
      <c r="E70" s="78"/>
      <c r="F70" s="78"/>
      <c r="G70" s="78"/>
      <c r="H70" s="78"/>
      <c r="I70" s="78"/>
      <c r="J70" s="6"/>
    </row>
    <row r="71" spans="3:10" ht="15" hidden="1" customHeight="1">
      <c r="C71" s="14"/>
      <c r="D71" s="44"/>
      <c r="E71" s="45"/>
      <c r="F71" s="45"/>
      <c r="G71" s="45"/>
      <c r="H71" s="45"/>
      <c r="I71" s="46"/>
      <c r="J71" s="6"/>
    </row>
    <row r="72" spans="3:10" ht="15" customHeight="1">
      <c r="C72" s="14"/>
      <c r="D72" s="40" t="s">
        <v>25</v>
      </c>
      <c r="E72" s="40" t="s">
        <v>46</v>
      </c>
      <c r="F72" s="40" t="s">
        <v>37</v>
      </c>
      <c r="G72" s="40" t="s">
        <v>36</v>
      </c>
      <c r="H72" s="40" t="s">
        <v>34</v>
      </c>
      <c r="I72" s="40" t="s">
        <v>7</v>
      </c>
      <c r="J72" s="6"/>
    </row>
    <row r="73" spans="3:10" ht="15" customHeight="1">
      <c r="C73" s="14"/>
      <c r="D73" s="32" t="s">
        <v>41</v>
      </c>
      <c r="E73" s="33">
        <f t="shared" ref="E73:E81" si="4">E59-G30</f>
        <v>1640.5400000000018</v>
      </c>
      <c r="F73" s="33">
        <f t="shared" ref="F73:G81" si="5">F59</f>
        <v>0</v>
      </c>
      <c r="G73" s="33">
        <f t="shared" si="5"/>
        <v>5983.6</v>
      </c>
      <c r="H73" s="52">
        <f t="shared" ref="H73:H81" si="6">E73-F73-G73</f>
        <v>-4343.0599999999986</v>
      </c>
      <c r="I73" s="64" t="s">
        <v>56</v>
      </c>
      <c r="J73" s="6"/>
    </row>
    <row r="74" spans="3:10" ht="15" customHeight="1">
      <c r="C74" s="14"/>
      <c r="D74" s="32" t="s">
        <v>42</v>
      </c>
      <c r="E74" s="33">
        <f t="shared" si="4"/>
        <v>0</v>
      </c>
      <c r="F74" s="33">
        <f t="shared" si="5"/>
        <v>0</v>
      </c>
      <c r="G74" s="33">
        <f t="shared" si="5"/>
        <v>7180.44</v>
      </c>
      <c r="H74" s="52">
        <f t="shared" si="6"/>
        <v>-7180.44</v>
      </c>
      <c r="I74" s="65"/>
      <c r="J74" s="6"/>
    </row>
    <row r="75" spans="3:10" ht="15" customHeight="1">
      <c r="C75" s="14"/>
      <c r="D75" s="32" t="s">
        <v>43</v>
      </c>
      <c r="E75" s="33">
        <f t="shared" si="4"/>
        <v>0</v>
      </c>
      <c r="F75" s="33">
        <f t="shared" si="5"/>
        <v>0</v>
      </c>
      <c r="G75" s="33">
        <f t="shared" si="5"/>
        <v>4786.96</v>
      </c>
      <c r="H75" s="52">
        <f t="shared" si="6"/>
        <v>-4786.96</v>
      </c>
      <c r="I75" s="65"/>
      <c r="J75" s="6"/>
    </row>
    <row r="76" spans="3:10" ht="15" customHeight="1">
      <c r="C76" s="14"/>
      <c r="D76" s="32" t="s">
        <v>44</v>
      </c>
      <c r="E76" s="33">
        <f t="shared" si="4"/>
        <v>-0.01</v>
      </c>
      <c r="F76" s="33">
        <f t="shared" si="5"/>
        <v>0.01</v>
      </c>
      <c r="G76" s="33">
        <f t="shared" si="5"/>
        <v>0</v>
      </c>
      <c r="H76" s="52">
        <f t="shared" si="6"/>
        <v>-0.02</v>
      </c>
      <c r="I76" s="65"/>
      <c r="J76" s="6"/>
    </row>
    <row r="77" spans="3:10" ht="15" customHeight="1">
      <c r="C77" s="14"/>
      <c r="D77" s="32" t="s">
        <v>45</v>
      </c>
      <c r="E77" s="33">
        <f t="shared" si="4"/>
        <v>0</v>
      </c>
      <c r="F77" s="33">
        <f t="shared" si="5"/>
        <v>0</v>
      </c>
      <c r="G77" s="33">
        <f t="shared" si="5"/>
        <v>0</v>
      </c>
      <c r="H77" s="52">
        <f t="shared" si="6"/>
        <v>0</v>
      </c>
      <c r="I77" s="65"/>
      <c r="J77" s="6"/>
    </row>
    <row r="78" spans="3:10" ht="15" customHeight="1">
      <c r="C78" s="14"/>
      <c r="D78" s="32" t="s">
        <v>27</v>
      </c>
      <c r="E78" s="33">
        <f t="shared" si="4"/>
        <v>0</v>
      </c>
      <c r="F78" s="33">
        <f t="shared" si="5"/>
        <v>0</v>
      </c>
      <c r="G78" s="33">
        <f t="shared" si="5"/>
        <v>0</v>
      </c>
      <c r="H78" s="52">
        <f t="shared" si="6"/>
        <v>0</v>
      </c>
      <c r="I78" s="65"/>
      <c r="J78" s="6"/>
    </row>
    <row r="79" spans="3:10" ht="15" customHeight="1">
      <c r="C79" s="14"/>
      <c r="D79" s="32" t="s">
        <v>30</v>
      </c>
      <c r="E79" s="33">
        <f t="shared" si="4"/>
        <v>0</v>
      </c>
      <c r="F79" s="33">
        <f t="shared" si="5"/>
        <v>0</v>
      </c>
      <c r="G79" s="33">
        <f t="shared" si="5"/>
        <v>0</v>
      </c>
      <c r="H79" s="52">
        <f t="shared" si="6"/>
        <v>0</v>
      </c>
      <c r="I79" s="65"/>
      <c r="J79" s="6"/>
    </row>
    <row r="80" spans="3:10" ht="15" customHeight="1">
      <c r="C80" s="14"/>
      <c r="D80" s="32" t="s">
        <v>31</v>
      </c>
      <c r="E80" s="33">
        <f t="shared" si="4"/>
        <v>0</v>
      </c>
      <c r="F80" s="33">
        <f t="shared" si="5"/>
        <v>0</v>
      </c>
      <c r="G80" s="33">
        <f t="shared" si="5"/>
        <v>0</v>
      </c>
      <c r="H80" s="52">
        <f t="shared" si="6"/>
        <v>0</v>
      </c>
      <c r="I80" s="65"/>
      <c r="J80" s="6"/>
    </row>
    <row r="81" spans="3:10" ht="15" customHeight="1">
      <c r="C81" s="14"/>
      <c r="D81" s="32" t="s">
        <v>32</v>
      </c>
      <c r="E81" s="33">
        <f t="shared" si="4"/>
        <v>48516.729999999996</v>
      </c>
      <c r="F81" s="33">
        <f t="shared" si="5"/>
        <v>17436.07</v>
      </c>
      <c r="G81" s="33">
        <f t="shared" si="5"/>
        <v>0</v>
      </c>
      <c r="H81" s="52">
        <f t="shared" si="6"/>
        <v>31080.659999999996</v>
      </c>
      <c r="I81" s="65"/>
      <c r="J81" s="6"/>
    </row>
    <row r="82" spans="3:10" ht="15" customHeight="1">
      <c r="C82" s="14"/>
      <c r="D82" s="32" t="s">
        <v>33</v>
      </c>
      <c r="E82" s="53">
        <f>SUM(E73:E81)</f>
        <v>50157.259999999995</v>
      </c>
      <c r="F82" s="54">
        <f>-SUM(F73:F81)</f>
        <v>-17436.079999999998</v>
      </c>
      <c r="G82" s="54">
        <f>-SUM(G73:G81)</f>
        <v>-17951</v>
      </c>
      <c r="H82" s="53">
        <f>SUM(H73:H81)</f>
        <v>14770.179999999997</v>
      </c>
      <c r="I82" s="66"/>
      <c r="J82" s="6"/>
    </row>
    <row r="83" spans="3:10" ht="15" customHeight="1">
      <c r="C83" s="14"/>
      <c r="D83" s="20"/>
      <c r="E83" s="35"/>
      <c r="F83" s="35"/>
      <c r="G83" s="35"/>
      <c r="H83" s="35"/>
      <c r="I83" s="22"/>
      <c r="J83" s="6"/>
    </row>
    <row r="84" spans="3:10" ht="15" customHeight="1">
      <c r="C84" s="14"/>
      <c r="D84" s="77" t="s">
        <v>53</v>
      </c>
      <c r="E84" s="78"/>
      <c r="F84" s="78"/>
      <c r="G84" s="78"/>
      <c r="H84" s="78"/>
      <c r="I84" s="78"/>
      <c r="J84" s="6"/>
    </row>
    <row r="85" spans="3:10" ht="15" customHeight="1">
      <c r="C85" s="14"/>
      <c r="D85" s="40" t="s">
        <v>25</v>
      </c>
      <c r="E85" s="40" t="s">
        <v>47</v>
      </c>
      <c r="F85" s="40" t="s">
        <v>48</v>
      </c>
      <c r="G85" s="87" t="s">
        <v>49</v>
      </c>
      <c r="H85" s="87"/>
      <c r="I85" s="40" t="s">
        <v>7</v>
      </c>
      <c r="J85" s="6"/>
    </row>
    <row r="86" spans="3:10" ht="15" customHeight="1">
      <c r="C86" s="14"/>
      <c r="D86" s="32" t="s">
        <v>41</v>
      </c>
      <c r="E86" s="33">
        <f t="shared" ref="E86:E94" si="7">H59</f>
        <v>2488.7400000000016</v>
      </c>
      <c r="F86" s="33">
        <f>H73</f>
        <v>-4343.0599999999986</v>
      </c>
      <c r="G86" s="60">
        <f>E86-F86</f>
        <v>6831.8</v>
      </c>
      <c r="H86" s="61"/>
      <c r="I86" s="64" t="s">
        <v>56</v>
      </c>
      <c r="J86" s="6"/>
    </row>
    <row r="87" spans="3:10" ht="15" customHeight="1">
      <c r="C87" s="14"/>
      <c r="D87" s="32" t="s">
        <v>42</v>
      </c>
      <c r="E87" s="33">
        <f t="shared" si="7"/>
        <v>0</v>
      </c>
      <c r="F87" s="33">
        <f t="shared" ref="F87:F94" si="8">H74</f>
        <v>-7180.44</v>
      </c>
      <c r="G87" s="60">
        <f t="shared" ref="G87:G94" si="9">E87-F87</f>
        <v>7180.44</v>
      </c>
      <c r="H87" s="61"/>
      <c r="I87" s="65"/>
      <c r="J87" s="6"/>
    </row>
    <row r="88" spans="3:10" ht="15" customHeight="1">
      <c r="C88" s="14"/>
      <c r="D88" s="32" t="s">
        <v>43</v>
      </c>
      <c r="E88" s="33">
        <f t="shared" si="7"/>
        <v>0</v>
      </c>
      <c r="F88" s="33">
        <f t="shared" si="8"/>
        <v>-4786.96</v>
      </c>
      <c r="G88" s="60">
        <f t="shared" si="9"/>
        <v>4786.96</v>
      </c>
      <c r="H88" s="61"/>
      <c r="I88" s="65"/>
      <c r="J88" s="6"/>
    </row>
    <row r="89" spans="3:10" ht="15" customHeight="1">
      <c r="C89" s="14"/>
      <c r="D89" s="32" t="s">
        <v>44</v>
      </c>
      <c r="E89" s="33">
        <f t="shared" si="7"/>
        <v>-0.01</v>
      </c>
      <c r="F89" s="33">
        <f t="shared" si="8"/>
        <v>-0.02</v>
      </c>
      <c r="G89" s="60">
        <f t="shared" si="9"/>
        <v>0.01</v>
      </c>
      <c r="H89" s="61"/>
      <c r="I89" s="65"/>
      <c r="J89" s="6"/>
    </row>
    <row r="90" spans="3:10" ht="15" customHeight="1">
      <c r="C90" s="14"/>
      <c r="D90" s="32" t="s">
        <v>45</v>
      </c>
      <c r="E90" s="33">
        <f t="shared" si="7"/>
        <v>0</v>
      </c>
      <c r="F90" s="33">
        <f t="shared" si="8"/>
        <v>0</v>
      </c>
      <c r="G90" s="60">
        <f t="shared" si="9"/>
        <v>0</v>
      </c>
      <c r="H90" s="61"/>
      <c r="I90" s="65"/>
      <c r="J90" s="6"/>
    </row>
    <row r="91" spans="3:10" ht="15" customHeight="1">
      <c r="C91" s="14"/>
      <c r="D91" s="32" t="s">
        <v>27</v>
      </c>
      <c r="E91" s="33">
        <f t="shared" si="7"/>
        <v>0</v>
      </c>
      <c r="F91" s="33">
        <f t="shared" si="8"/>
        <v>0</v>
      </c>
      <c r="G91" s="60">
        <f t="shared" si="9"/>
        <v>0</v>
      </c>
      <c r="H91" s="61"/>
      <c r="I91" s="65"/>
      <c r="J91" s="6"/>
    </row>
    <row r="92" spans="3:10" ht="15" customHeight="1">
      <c r="C92" s="14"/>
      <c r="D92" s="32" t="s">
        <v>30</v>
      </c>
      <c r="E92" s="33">
        <f t="shared" si="7"/>
        <v>0</v>
      </c>
      <c r="F92" s="33">
        <f t="shared" si="8"/>
        <v>0</v>
      </c>
      <c r="G92" s="60">
        <f t="shared" si="9"/>
        <v>0</v>
      </c>
      <c r="H92" s="61"/>
      <c r="I92" s="65"/>
      <c r="J92" s="6"/>
    </row>
    <row r="93" spans="3:10" ht="15" customHeight="1">
      <c r="C93" s="14"/>
      <c r="D93" s="32" t="s">
        <v>31</v>
      </c>
      <c r="E93" s="33">
        <f t="shared" si="7"/>
        <v>0</v>
      </c>
      <c r="F93" s="33">
        <f t="shared" si="8"/>
        <v>0</v>
      </c>
      <c r="G93" s="60">
        <f t="shared" si="9"/>
        <v>0</v>
      </c>
      <c r="H93" s="61"/>
      <c r="I93" s="65"/>
      <c r="J93" s="6"/>
    </row>
    <row r="94" spans="3:10" ht="15" customHeight="1">
      <c r="C94" s="14"/>
      <c r="D94" s="32" t="s">
        <v>32</v>
      </c>
      <c r="E94" s="33">
        <f t="shared" si="7"/>
        <v>12281.45</v>
      </c>
      <c r="F94" s="33">
        <f t="shared" si="8"/>
        <v>31080.659999999996</v>
      </c>
      <c r="G94" s="60">
        <f t="shared" si="9"/>
        <v>-18799.209999999995</v>
      </c>
      <c r="H94" s="61"/>
      <c r="I94" s="65"/>
      <c r="J94" s="6"/>
    </row>
    <row r="95" spans="3:10" ht="15" customHeight="1">
      <c r="C95" s="14"/>
      <c r="D95" s="32" t="s">
        <v>33</v>
      </c>
      <c r="E95" s="53">
        <f>SUM(E86:E94)</f>
        <v>14770.180000000002</v>
      </c>
      <c r="F95" s="53">
        <f>SUM(F86:F94)</f>
        <v>14770.179999999997</v>
      </c>
      <c r="G95" s="88">
        <f>SUM(G86:G94)</f>
        <v>0</v>
      </c>
      <c r="H95" s="89"/>
      <c r="I95" s="66"/>
      <c r="J95" s="6"/>
    </row>
    <row r="96" spans="3:10" ht="15" customHeight="1">
      <c r="C96" s="14"/>
      <c r="D96" s="20"/>
      <c r="E96" s="35"/>
      <c r="F96" s="35"/>
      <c r="G96" s="35"/>
      <c r="H96" s="35"/>
      <c r="I96" s="22"/>
      <c r="J96" s="6"/>
    </row>
    <row r="97" spans="3:10" ht="15" customHeight="1">
      <c r="C97" s="15"/>
      <c r="D97" s="16"/>
      <c r="E97" s="16"/>
      <c r="F97" s="16"/>
      <c r="G97" s="16"/>
      <c r="H97" s="16"/>
      <c r="I97" s="16"/>
      <c r="J97" s="17"/>
    </row>
    <row r="98" spans="3:10" ht="15" customHeight="1"/>
    <row r="99" spans="3:10" ht="15" customHeight="1"/>
    <row r="100" spans="3:10" ht="15" customHeight="1">
      <c r="F100" s="50"/>
    </row>
    <row r="101" spans="3:10" ht="15" customHeight="1">
      <c r="F101" s="50"/>
    </row>
    <row r="102" spans="3:10" ht="15" customHeight="1">
      <c r="F102" s="50"/>
    </row>
    <row r="103" spans="3:10" ht="15" customHeight="1">
      <c r="F103" s="50"/>
    </row>
    <row r="104" spans="3:10" ht="15" customHeight="1">
      <c r="F104" s="50"/>
    </row>
    <row r="105" spans="3:10" ht="15" customHeight="1">
      <c r="F105" s="50"/>
    </row>
    <row r="106" spans="3:10" ht="15" customHeight="1">
      <c r="F106" s="50"/>
    </row>
    <row r="107" spans="3:10" ht="15" customHeight="1">
      <c r="F107" s="50"/>
    </row>
    <row r="108" spans="3:10" ht="15" customHeight="1">
      <c r="F108" s="50"/>
    </row>
    <row r="109" spans="3:10">
      <c r="F109" s="50"/>
    </row>
  </sheetData>
  <mergeCells count="61">
    <mergeCell ref="I86:I95"/>
    <mergeCell ref="D84:I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D9:I9"/>
    <mergeCell ref="G39:H39"/>
    <mergeCell ref="F30:F39"/>
    <mergeCell ref="I73:I82"/>
    <mergeCell ref="G13:H13"/>
    <mergeCell ref="G18:H18"/>
    <mergeCell ref="D56:I56"/>
    <mergeCell ref="G34:H34"/>
    <mergeCell ref="D70:I70"/>
    <mergeCell ref="G30:H30"/>
    <mergeCell ref="G15:H15"/>
    <mergeCell ref="G33:H33"/>
    <mergeCell ref="E30:E39"/>
    <mergeCell ref="G14:H14"/>
    <mergeCell ref="D20:I20"/>
    <mergeCell ref="I59:I68"/>
    <mergeCell ref="I44:I53"/>
    <mergeCell ref="F25:H25"/>
    <mergeCell ref="G35:H35"/>
    <mergeCell ref="G29:H29"/>
    <mergeCell ref="D41:I41"/>
    <mergeCell ref="G32:H32"/>
    <mergeCell ref="G31:H31"/>
    <mergeCell ref="D27:I27"/>
    <mergeCell ref="G51:H51"/>
    <mergeCell ref="G52:H52"/>
    <mergeCell ref="G48:H48"/>
    <mergeCell ref="G49:H49"/>
    <mergeCell ref="G50:H50"/>
    <mergeCell ref="G53:H53"/>
    <mergeCell ref="G43:H43"/>
    <mergeCell ref="G44:H44"/>
    <mergeCell ref="G45:H45"/>
    <mergeCell ref="G46:H46"/>
    <mergeCell ref="G47:H47"/>
    <mergeCell ref="G11:H11"/>
    <mergeCell ref="I30:I39"/>
    <mergeCell ref="G36:H36"/>
    <mergeCell ref="I23:I25"/>
    <mergeCell ref="G17:H17"/>
    <mergeCell ref="F23:H23"/>
    <mergeCell ref="F22:H22"/>
    <mergeCell ref="G16:H16"/>
    <mergeCell ref="I12:I18"/>
    <mergeCell ref="F24:H24"/>
    <mergeCell ref="G12:H12"/>
    <mergeCell ref="G37:H37"/>
    <mergeCell ref="G38:H38"/>
  </mergeCells>
  <pageMargins left="0.7" right="0.7" top="0.75" bottom="0.75" header="0.3" footer="0.3"/>
  <pageSetup scale="26" orientation="portrait" r:id="rId1"/>
  <headerFooter>
    <oddFooter>&amp;L_x000D_&amp;1#&amp;"Aptos"&amp;9&amp;K000000 Corporativo |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510459-d533-42c8-9d28-4a36067ddc4a">
      <Terms xmlns="http://schemas.microsoft.com/office/infopath/2007/PartnerControls"/>
    </lcf76f155ced4ddcb4097134ff3c332f>
    <TaxCatchAll xmlns="4475bcc1-487f-4f41-a4fa-16d36b64f6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FCF7007A39A449C610FE937224C31" ma:contentTypeVersion="14" ma:contentTypeDescription="Create a new document." ma:contentTypeScope="" ma:versionID="aae601f3227c56e84e3be860b16c8cec">
  <xsd:schema xmlns:xsd="http://www.w3.org/2001/XMLSchema" xmlns:xs="http://www.w3.org/2001/XMLSchema" xmlns:p="http://schemas.microsoft.com/office/2006/metadata/properties" xmlns:ns2="4475bcc1-487f-4f41-a4fa-16d36b64f631" xmlns:ns3="a4510459-d533-42c8-9d28-4a36067ddc4a" targetNamespace="http://schemas.microsoft.com/office/2006/metadata/properties" ma:root="true" ma:fieldsID="c2304724cb034f27c32e1a8819cb3173" ns2:_="" ns3:_="">
    <xsd:import namespace="4475bcc1-487f-4f41-a4fa-16d36b64f631"/>
    <xsd:import namespace="a4510459-d533-42c8-9d28-4a36067ddc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5bcc1-487f-4f41-a4fa-16d36b64f6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82cdcb1-d027-44ca-b17f-13b590ad0012}" ma:internalName="TaxCatchAll" ma:showField="CatchAllData" ma:web="4475bcc1-487f-4f41-a4fa-16d36b64f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10459-d533-42c8-9d28-4a36067dd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57D0B2-D39A-4C32-80C0-F5A4856FDC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751AA5-C84A-4398-B3CD-2D97703C1EEB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4475bcc1-487f-4f41-a4fa-16d36b64f631"/>
    <ds:schemaRef ds:uri="a4510459-d533-42c8-9d28-4a36067ddc4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FF22E7-71A9-4FDF-8E1B-250532A6B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5bcc1-487f-4f41-a4fa-16d36b64f631"/>
    <ds:schemaRef ds:uri="a4510459-d533-42c8-9d28-4a36067dd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Resumo das validações 794680</vt:lpstr>
      <vt:lpstr>'Resumo das validações 794680'!Area_de_impressao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Sato, Fernanda M</dc:creator>
  <cp:keywords/>
  <dc:description/>
  <cp:lastModifiedBy>Marcos S. Takata</cp:lastModifiedBy>
  <cp:revision/>
  <dcterms:created xsi:type="dcterms:W3CDTF">2024-09-09T16:25:58Z</dcterms:created>
  <dcterms:modified xsi:type="dcterms:W3CDTF">2025-12-30T14:09:06Z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0x010100F72FCF7007A39A449C610FE937224C31</vt:lpwstr>
  </property>
  <property fmtid="{D5CDD505-2E9C-101B-9397-08002B2CF9AE}" pid="3" name="MediaServiceImageTags">
    <vt:lpwstr/>
  </property>
  <property fmtid="{D5CDD505-2E9C-101B-9397-08002B2CF9AE}" pid="4" name="MSIP_Label_4fc996bf-6aee-415c-aa4c-e35ad0009c67_Enabled">
    <vt:lpwstr>true</vt:lpwstr>
  </property>
  <property fmtid="{D5CDD505-2E9C-101B-9397-08002B2CF9AE}" pid="5" name="MSIP_Label_4fc996bf-6aee-415c-aa4c-e35ad0009c67_SetDate">
    <vt:lpwstr>2025-12-30T12:48:41Z</vt:lpwstr>
  </property>
  <property fmtid="{D5CDD505-2E9C-101B-9397-08002B2CF9AE}" pid="6" name="MSIP_Label_4fc996bf-6aee-415c-aa4c-e35ad0009c67_Method">
    <vt:lpwstr>Standard</vt:lpwstr>
  </property>
  <property fmtid="{D5CDD505-2E9C-101B-9397-08002B2CF9AE}" pid="7" name="MSIP_Label_4fc996bf-6aee-415c-aa4c-e35ad0009c67_Name">
    <vt:lpwstr>Compartilhamento Interno</vt:lpwstr>
  </property>
  <property fmtid="{D5CDD505-2E9C-101B-9397-08002B2CF9AE}" pid="8" name="MSIP_Label_4fc996bf-6aee-415c-aa4c-e35ad0009c67_SiteId">
    <vt:lpwstr>591669a0-183f-49a5-98f4-9aa0d0b63d81</vt:lpwstr>
  </property>
  <property fmtid="{D5CDD505-2E9C-101B-9397-08002B2CF9AE}" pid="9" name="MSIP_Label_4fc996bf-6aee-415c-aa4c-e35ad0009c67_ActionId">
    <vt:lpwstr>1fee8f47-ddd0-40bd-b9ad-b1cab9a8dd36</vt:lpwstr>
  </property>
  <property fmtid="{D5CDD505-2E9C-101B-9397-08002B2CF9AE}" pid="10" name="MSIP_Label_4fc996bf-6aee-415c-aa4c-e35ad0009c67_ContentBits">
    <vt:lpwstr>2</vt:lpwstr>
  </property>
  <property fmtid="{D5CDD505-2E9C-101B-9397-08002B2CF9AE}" pid="11" name="MSIP_Label_4fc996bf-6aee-415c-aa4c-e35ad0009c67_Tag">
    <vt:lpwstr>10, 3, 0, 1</vt:lpwstr>
  </property>
</Properties>
</file>